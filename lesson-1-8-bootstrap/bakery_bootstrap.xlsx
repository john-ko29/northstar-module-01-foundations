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hnko/northstar-coursework/module-01-foundations-of-analytics-and-statistics/lesson-1-8-bootstrap/"/>
    </mc:Choice>
  </mc:AlternateContent>
  <xr:revisionPtr revIDLastSave="0" documentId="13_ncr:9_{DDD062C0-13C0-174B-A88B-BC38A2B963E6}" xr6:coauthVersionLast="47" xr6:coauthVersionMax="47" xr10:uidLastSave="{00000000-0000-0000-0000-000000000000}"/>
  <bookViews>
    <workbookView xWindow="1500" yWindow="1400" windowWidth="27640" windowHeight="16680" activeTab="1" xr2:uid="{ADBD3B80-7711-6140-B6D8-1AC1B3196CE9}"/>
  </bookViews>
  <sheets>
    <sheet name="bakery_customers" sheetId="1" r:id="rId1"/>
    <sheet name="bootstra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 a="1"/>
  <c r="F3" i="2" s="1"/>
  <c r="F4" i="2" a="1"/>
  <c r="F4" i="2" s="1"/>
  <c r="F5" i="2" a="1"/>
  <c r="F5" i="2" s="1"/>
  <c r="F6" i="2" a="1"/>
  <c r="F6" i="2" s="1"/>
  <c r="F7" i="2" a="1"/>
  <c r="F7" i="2" s="1"/>
  <c r="F8" i="2" a="1"/>
  <c r="F8" i="2" s="1"/>
  <c r="F9" i="2" a="1"/>
  <c r="F9" i="2" s="1"/>
  <c r="F10" i="2" a="1"/>
  <c r="F10" i="2" s="1"/>
  <c r="F11" i="2" a="1"/>
  <c r="F11" i="2" s="1"/>
  <c r="F12" i="2" a="1"/>
  <c r="F12" i="2" s="1"/>
  <c r="F13" i="2" a="1"/>
  <c r="F13" i="2" s="1"/>
  <c r="F14" i="2" a="1"/>
  <c r="F14" i="2" s="1"/>
  <c r="F15" i="2" a="1"/>
  <c r="F15" i="2" s="1"/>
  <c r="F16" i="2" a="1"/>
  <c r="F16" i="2" s="1"/>
  <c r="F17" i="2" a="1"/>
  <c r="F17" i="2" s="1"/>
  <c r="F18" i="2" a="1"/>
  <c r="F18" i="2" s="1"/>
  <c r="F19" i="2" a="1"/>
  <c r="F19" i="2" s="1"/>
  <c r="F20" i="2" a="1"/>
  <c r="F20" i="2" s="1"/>
  <c r="F21" i="2" a="1"/>
  <c r="F21" i="2" s="1"/>
  <c r="F22" i="2" a="1"/>
  <c r="F22" i="2" s="1"/>
  <c r="F23" i="2" a="1"/>
  <c r="F23" i="2" s="1"/>
  <c r="F24" i="2" a="1"/>
  <c r="F24" i="2" s="1"/>
  <c r="F25" i="2" a="1"/>
  <c r="F25" i="2"/>
  <c r="F26" i="2" a="1"/>
  <c r="F26" i="2" s="1"/>
  <c r="F27" i="2" a="1"/>
  <c r="F27" i="2" s="1"/>
  <c r="F28" i="2" a="1"/>
  <c r="F28" i="2" s="1"/>
  <c r="F29" i="2" a="1"/>
  <c r="F29" i="2" s="1"/>
  <c r="F30" i="2" a="1"/>
  <c r="F30" i="2" s="1"/>
  <c r="F31" i="2" a="1"/>
  <c r="F31" i="2" s="1"/>
  <c r="F32" i="2" a="1"/>
  <c r="F32" i="2" s="1"/>
  <c r="F33" i="2" a="1"/>
  <c r="F33" i="2" s="1"/>
  <c r="F34" i="2" a="1"/>
  <c r="F34" i="2" s="1"/>
  <c r="F35" i="2" a="1"/>
  <c r="F35" i="2" s="1"/>
  <c r="F36" i="2" a="1"/>
  <c r="F36" i="2" s="1"/>
  <c r="F37" i="2" a="1"/>
  <c r="F37" i="2" s="1"/>
  <c r="F38" i="2" a="1"/>
  <c r="F38" i="2" s="1"/>
  <c r="F39" i="2" a="1"/>
  <c r="F39" i="2" s="1"/>
  <c r="F40" i="2" a="1"/>
  <c r="F40" i="2" s="1"/>
  <c r="F41" i="2" a="1"/>
  <c r="F41" i="2" s="1"/>
  <c r="F42" i="2" a="1"/>
  <c r="F42" i="2"/>
  <c r="F43" i="2" a="1"/>
  <c r="F43" i="2" s="1"/>
  <c r="F44" i="2" a="1"/>
  <c r="F44" i="2" s="1"/>
  <c r="F45" i="2" a="1"/>
  <c r="F45" i="2"/>
  <c r="F46" i="2" a="1"/>
  <c r="F46" i="2" s="1"/>
  <c r="F47" i="2" a="1"/>
  <c r="F47" i="2" s="1"/>
  <c r="F48" i="2" a="1"/>
  <c r="F48" i="2" s="1"/>
  <c r="F49" i="2" a="1"/>
  <c r="F49" i="2" s="1"/>
  <c r="F50" i="2" a="1"/>
  <c r="F50" i="2" s="1"/>
  <c r="F51" i="2" a="1"/>
  <c r="F51" i="2" s="1"/>
  <c r="F2" i="2" a="1"/>
  <c r="F2" i="2" s="1"/>
  <c r="D3" i="2"/>
  <c r="D2" i="2"/>
  <c r="D1" i="2"/>
  <c r="G2" i="2" l="1"/>
  <c r="H2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<sst xmlns="http://schemas.openxmlformats.org/spreadsheetml/2006/main" count="113" uniqueCount="66">
  <si>
    <t>customer_id</t>
  </si>
  <si>
    <t>region</t>
  </si>
  <si>
    <t>first_visit_year</t>
  </si>
  <si>
    <t>satisfaction</t>
  </si>
  <si>
    <t>total_spent_usd</t>
  </si>
  <si>
    <t>visits_last_year</t>
  </si>
  <si>
    <t>CUST-93810</t>
  </si>
  <si>
    <t>Downtown</t>
  </si>
  <si>
    <t>CUST-24592</t>
  </si>
  <si>
    <t>West End</t>
  </si>
  <si>
    <t>CUST-13278</t>
  </si>
  <si>
    <t>South Side</t>
  </si>
  <si>
    <t>CUST-46048</t>
  </si>
  <si>
    <t>North Side</t>
  </si>
  <si>
    <t>CUST-42098</t>
  </si>
  <si>
    <t>CUST-39256</t>
  </si>
  <si>
    <t>CUST-28289</t>
  </si>
  <si>
    <t>CUST-23434</t>
  </si>
  <si>
    <t>CUST-98696</t>
  </si>
  <si>
    <t>CUST-81482</t>
  </si>
  <si>
    <t>CUST-21395</t>
  </si>
  <si>
    <t>CUST-87397</t>
  </si>
  <si>
    <t>CUST-65302</t>
  </si>
  <si>
    <t>CUST-14165</t>
  </si>
  <si>
    <t>CUST-13905</t>
  </si>
  <si>
    <t>CUST-22280</t>
  </si>
  <si>
    <t>CUST-38657</t>
  </si>
  <si>
    <t>CUST-40495</t>
  </si>
  <si>
    <t>CUST-76237</t>
  </si>
  <si>
    <t>CUST-88907</t>
  </si>
  <si>
    <t>CUST-13478</t>
  </si>
  <si>
    <t>CUST-83563</t>
  </si>
  <si>
    <t>CUST-36062</t>
  </si>
  <si>
    <t>CUST-95181</t>
  </si>
  <si>
    <t>CUST-81426</t>
  </si>
  <si>
    <t>CUST-64987</t>
  </si>
  <si>
    <t>CUST-38893</t>
  </si>
  <si>
    <t>CUST-68878</t>
  </si>
  <si>
    <t>CUST-87236</t>
  </si>
  <si>
    <t>CUST-46463</t>
  </si>
  <si>
    <t>CUST-10851</t>
  </si>
  <si>
    <t>CUST-30926</t>
  </si>
  <si>
    <t>CUST-65392</t>
  </si>
  <si>
    <t>CUST-54597</t>
  </si>
  <si>
    <t>CUST-46421</t>
  </si>
  <si>
    <t>CUST-30379</t>
  </si>
  <si>
    <t>CUST-38221</t>
  </si>
  <si>
    <t>CUST-54118</t>
  </si>
  <si>
    <t>CUST-23396</t>
  </si>
  <si>
    <t>CUST-22156</t>
  </si>
  <si>
    <t>CUST-59797</t>
  </si>
  <si>
    <t>CUST-22676</t>
  </si>
  <si>
    <t>CUST-57052</t>
  </si>
  <si>
    <t>CUST-55082</t>
  </si>
  <si>
    <t>CUST-89131</t>
  </si>
  <si>
    <t>CUST-44671</t>
  </si>
  <si>
    <t>CUST-15695</t>
  </si>
  <si>
    <t>CUST-70217</t>
  </si>
  <si>
    <t>CUST-80284</t>
  </si>
  <si>
    <t>CUST-26361</t>
  </si>
  <si>
    <t>Sample size:</t>
  </si>
  <si>
    <t> Sample mean:</t>
  </si>
  <si>
    <t>Sample median:</t>
  </si>
  <si>
    <t>bootstrap_sample</t>
  </si>
  <si>
    <t>boot_mean</t>
  </si>
  <si>
    <t>boot_median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</si>
</sst>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46018-7263-EA4F-8795-E760258DCE01}">
  <dimension ref="A1:F51"/>
  <sheetViews>
    <sheetView workbookViewId="0">
      <selection activeCell="E2" sqref="E2:E51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>
        <v>2024</v>
      </c>
      <c r="D2">
        <v>5</v>
      </c>
      <c r="E2">
        <v>351.9</v>
      </c>
      <c r="F2">
        <v>9</v>
      </c>
    </row>
    <row r="3" spans="1:6" x14ac:dyDescent="0.2">
      <c r="A3" t="s">
        <v>8</v>
      </c>
      <c r="B3" t="s">
        <v>9</v>
      </c>
      <c r="C3">
        <v>2025</v>
      </c>
      <c r="D3">
        <v>5</v>
      </c>
      <c r="E3">
        <v>226.64</v>
      </c>
      <c r="F3">
        <v>11</v>
      </c>
    </row>
    <row r="4" spans="1:6" x14ac:dyDescent="0.2">
      <c r="A4" t="s">
        <v>10</v>
      </c>
      <c r="B4" t="s">
        <v>11</v>
      </c>
      <c r="C4">
        <v>2024</v>
      </c>
      <c r="D4">
        <v>5</v>
      </c>
      <c r="E4">
        <v>37.590000000000003</v>
      </c>
      <c r="F4">
        <v>5</v>
      </c>
    </row>
    <row r="5" spans="1:6" x14ac:dyDescent="0.2">
      <c r="A5" t="s">
        <v>12</v>
      </c>
      <c r="B5" t="s">
        <v>13</v>
      </c>
      <c r="C5">
        <v>2018</v>
      </c>
      <c r="D5">
        <v>5</v>
      </c>
      <c r="E5">
        <v>277.64</v>
      </c>
      <c r="F5">
        <v>9</v>
      </c>
    </row>
    <row r="6" spans="1:6" x14ac:dyDescent="0.2">
      <c r="A6" t="s">
        <v>14</v>
      </c>
      <c r="B6" t="s">
        <v>7</v>
      </c>
      <c r="C6">
        <v>2021</v>
      </c>
      <c r="D6">
        <v>4</v>
      </c>
      <c r="E6">
        <v>218.36</v>
      </c>
      <c r="F6">
        <v>8</v>
      </c>
    </row>
    <row r="7" spans="1:6" x14ac:dyDescent="0.2">
      <c r="A7" t="s">
        <v>15</v>
      </c>
      <c r="B7" t="s">
        <v>7</v>
      </c>
      <c r="C7">
        <v>2022</v>
      </c>
      <c r="D7">
        <v>5</v>
      </c>
      <c r="E7">
        <v>226.87</v>
      </c>
      <c r="F7">
        <v>9</v>
      </c>
    </row>
    <row r="8" spans="1:6" x14ac:dyDescent="0.2">
      <c r="A8" t="s">
        <v>16</v>
      </c>
      <c r="B8" t="s">
        <v>7</v>
      </c>
      <c r="C8">
        <v>2025</v>
      </c>
      <c r="D8">
        <v>2</v>
      </c>
      <c r="E8">
        <v>286.23</v>
      </c>
      <c r="F8">
        <v>8</v>
      </c>
    </row>
    <row r="9" spans="1:6" x14ac:dyDescent="0.2">
      <c r="A9" t="s">
        <v>17</v>
      </c>
      <c r="B9" t="s">
        <v>9</v>
      </c>
      <c r="C9">
        <v>2021</v>
      </c>
      <c r="D9">
        <v>3</v>
      </c>
      <c r="E9">
        <v>236.72</v>
      </c>
      <c r="F9">
        <v>12</v>
      </c>
    </row>
    <row r="10" spans="1:6" x14ac:dyDescent="0.2">
      <c r="A10" t="s">
        <v>18</v>
      </c>
      <c r="B10" t="s">
        <v>13</v>
      </c>
      <c r="C10">
        <v>2023</v>
      </c>
      <c r="D10">
        <v>1</v>
      </c>
      <c r="E10">
        <v>267.2</v>
      </c>
      <c r="F10">
        <v>15</v>
      </c>
    </row>
    <row r="11" spans="1:6" x14ac:dyDescent="0.2">
      <c r="A11" t="s">
        <v>19</v>
      </c>
      <c r="B11" t="s">
        <v>11</v>
      </c>
      <c r="C11">
        <v>2022</v>
      </c>
      <c r="D11">
        <v>3</v>
      </c>
      <c r="E11">
        <v>88.21</v>
      </c>
      <c r="F11">
        <v>9</v>
      </c>
    </row>
    <row r="12" spans="1:6" x14ac:dyDescent="0.2">
      <c r="A12" t="s">
        <v>20</v>
      </c>
      <c r="B12" t="s">
        <v>7</v>
      </c>
      <c r="C12">
        <v>2024</v>
      </c>
      <c r="D12">
        <v>4</v>
      </c>
      <c r="E12">
        <v>174.56</v>
      </c>
      <c r="F12">
        <v>5</v>
      </c>
    </row>
    <row r="13" spans="1:6" x14ac:dyDescent="0.2">
      <c r="A13" t="s">
        <v>21</v>
      </c>
      <c r="B13" t="s">
        <v>9</v>
      </c>
      <c r="C13">
        <v>2024</v>
      </c>
      <c r="D13">
        <v>3</v>
      </c>
      <c r="E13">
        <v>362.32</v>
      </c>
      <c r="F13">
        <v>7</v>
      </c>
    </row>
    <row r="14" spans="1:6" x14ac:dyDescent="0.2">
      <c r="A14" t="s">
        <v>22</v>
      </c>
      <c r="B14" t="s">
        <v>11</v>
      </c>
      <c r="C14">
        <v>2022</v>
      </c>
      <c r="D14">
        <v>5</v>
      </c>
      <c r="E14">
        <v>248.52</v>
      </c>
      <c r="F14">
        <v>9</v>
      </c>
    </row>
    <row r="15" spans="1:6" x14ac:dyDescent="0.2">
      <c r="A15" t="s">
        <v>23</v>
      </c>
      <c r="B15" t="s">
        <v>7</v>
      </c>
      <c r="C15">
        <v>2024</v>
      </c>
      <c r="D15">
        <v>4</v>
      </c>
      <c r="E15">
        <v>116.12</v>
      </c>
      <c r="F15">
        <v>6</v>
      </c>
    </row>
    <row r="16" spans="1:6" x14ac:dyDescent="0.2">
      <c r="A16" t="s">
        <v>24</v>
      </c>
      <c r="B16" t="s">
        <v>7</v>
      </c>
      <c r="C16">
        <v>2020</v>
      </c>
      <c r="D16">
        <v>3</v>
      </c>
      <c r="E16">
        <v>164.2</v>
      </c>
      <c r="F16">
        <v>9</v>
      </c>
    </row>
    <row r="17" spans="1:6" x14ac:dyDescent="0.2">
      <c r="A17" t="s">
        <v>25</v>
      </c>
      <c r="B17" t="s">
        <v>7</v>
      </c>
      <c r="C17">
        <v>2022</v>
      </c>
      <c r="D17">
        <v>4</v>
      </c>
      <c r="E17">
        <v>170.59</v>
      </c>
      <c r="F17">
        <v>5</v>
      </c>
    </row>
    <row r="18" spans="1:6" x14ac:dyDescent="0.2">
      <c r="A18" t="s">
        <v>26</v>
      </c>
      <c r="B18" t="s">
        <v>7</v>
      </c>
      <c r="C18">
        <v>2021</v>
      </c>
      <c r="D18">
        <v>2</v>
      </c>
      <c r="E18">
        <v>258.19</v>
      </c>
      <c r="F18">
        <v>2</v>
      </c>
    </row>
    <row r="19" spans="1:6" x14ac:dyDescent="0.2">
      <c r="A19" t="s">
        <v>27</v>
      </c>
      <c r="B19" t="s">
        <v>13</v>
      </c>
      <c r="C19">
        <v>2022</v>
      </c>
      <c r="D19">
        <v>5</v>
      </c>
      <c r="E19">
        <v>215.39</v>
      </c>
      <c r="F19">
        <v>8</v>
      </c>
    </row>
    <row r="20" spans="1:6" x14ac:dyDescent="0.2">
      <c r="A20" t="s">
        <v>28</v>
      </c>
      <c r="B20" t="s">
        <v>13</v>
      </c>
      <c r="C20">
        <v>2025</v>
      </c>
      <c r="D20">
        <v>2</v>
      </c>
      <c r="E20">
        <v>197.27</v>
      </c>
      <c r="F20">
        <v>8</v>
      </c>
    </row>
    <row r="21" spans="1:6" x14ac:dyDescent="0.2">
      <c r="A21" t="s">
        <v>29</v>
      </c>
      <c r="B21" t="s">
        <v>7</v>
      </c>
      <c r="C21">
        <v>2024</v>
      </c>
      <c r="D21">
        <v>5</v>
      </c>
      <c r="E21">
        <v>250.31</v>
      </c>
      <c r="F21">
        <v>6</v>
      </c>
    </row>
    <row r="22" spans="1:6" x14ac:dyDescent="0.2">
      <c r="A22" t="s">
        <v>30</v>
      </c>
      <c r="B22" t="s">
        <v>13</v>
      </c>
      <c r="C22">
        <v>2020</v>
      </c>
      <c r="D22">
        <v>5</v>
      </c>
      <c r="E22">
        <v>288.22000000000003</v>
      </c>
      <c r="F22">
        <v>9</v>
      </c>
    </row>
    <row r="23" spans="1:6" x14ac:dyDescent="0.2">
      <c r="A23" t="s">
        <v>31</v>
      </c>
      <c r="B23" t="s">
        <v>7</v>
      </c>
      <c r="C23">
        <v>2020</v>
      </c>
      <c r="D23">
        <v>3</v>
      </c>
      <c r="E23">
        <v>229.28</v>
      </c>
      <c r="F23">
        <v>3</v>
      </c>
    </row>
    <row r="24" spans="1:6" x14ac:dyDescent="0.2">
      <c r="A24" t="s">
        <v>32</v>
      </c>
      <c r="B24" t="s">
        <v>7</v>
      </c>
      <c r="C24">
        <v>2023</v>
      </c>
      <c r="D24">
        <v>1</v>
      </c>
      <c r="E24">
        <v>204.02</v>
      </c>
      <c r="F24">
        <v>5</v>
      </c>
    </row>
    <row r="25" spans="1:6" x14ac:dyDescent="0.2">
      <c r="A25" t="s">
        <v>33</v>
      </c>
      <c r="B25" t="s">
        <v>7</v>
      </c>
      <c r="C25">
        <v>2021</v>
      </c>
      <c r="D25">
        <v>5</v>
      </c>
      <c r="E25">
        <v>216.28</v>
      </c>
      <c r="F25">
        <v>13</v>
      </c>
    </row>
    <row r="26" spans="1:6" x14ac:dyDescent="0.2">
      <c r="A26" t="s">
        <v>34</v>
      </c>
      <c r="B26" t="s">
        <v>13</v>
      </c>
      <c r="C26">
        <v>2019</v>
      </c>
      <c r="D26">
        <v>5</v>
      </c>
      <c r="E26">
        <v>277.19</v>
      </c>
      <c r="F26">
        <v>12</v>
      </c>
    </row>
    <row r="27" spans="1:6" x14ac:dyDescent="0.2">
      <c r="A27" t="s">
        <v>35</v>
      </c>
      <c r="B27" t="s">
        <v>11</v>
      </c>
      <c r="C27">
        <v>2019</v>
      </c>
      <c r="D27">
        <v>5</v>
      </c>
      <c r="E27">
        <v>249.41</v>
      </c>
      <c r="F27">
        <v>10</v>
      </c>
    </row>
    <row r="28" spans="1:6" x14ac:dyDescent="0.2">
      <c r="A28" t="s">
        <v>36</v>
      </c>
      <c r="B28" t="s">
        <v>7</v>
      </c>
      <c r="C28">
        <v>2022</v>
      </c>
      <c r="D28">
        <v>5</v>
      </c>
      <c r="E28">
        <v>311.38</v>
      </c>
      <c r="F28">
        <v>7</v>
      </c>
    </row>
    <row r="29" spans="1:6" x14ac:dyDescent="0.2">
      <c r="A29" t="s">
        <v>37</v>
      </c>
      <c r="B29" t="s">
        <v>13</v>
      </c>
      <c r="C29">
        <v>2023</v>
      </c>
      <c r="D29">
        <v>2</v>
      </c>
      <c r="E29">
        <v>158.02000000000001</v>
      </c>
      <c r="F29">
        <v>6</v>
      </c>
    </row>
    <row r="30" spans="1:6" x14ac:dyDescent="0.2">
      <c r="A30" t="s">
        <v>38</v>
      </c>
      <c r="B30" t="s">
        <v>13</v>
      </c>
      <c r="C30">
        <v>2018</v>
      </c>
      <c r="D30">
        <v>4</v>
      </c>
      <c r="E30">
        <v>187.97</v>
      </c>
      <c r="F30">
        <v>5</v>
      </c>
    </row>
    <row r="31" spans="1:6" x14ac:dyDescent="0.2">
      <c r="A31" t="s">
        <v>39</v>
      </c>
      <c r="B31" t="s">
        <v>7</v>
      </c>
      <c r="C31">
        <v>2022</v>
      </c>
      <c r="D31">
        <v>2</v>
      </c>
      <c r="E31">
        <v>311.85000000000002</v>
      </c>
      <c r="F31">
        <v>9</v>
      </c>
    </row>
    <row r="32" spans="1:6" x14ac:dyDescent="0.2">
      <c r="A32" t="s">
        <v>40</v>
      </c>
      <c r="B32" t="s">
        <v>13</v>
      </c>
      <c r="C32">
        <v>2023</v>
      </c>
      <c r="D32">
        <v>5</v>
      </c>
      <c r="E32">
        <v>185.85</v>
      </c>
      <c r="F32">
        <v>6</v>
      </c>
    </row>
    <row r="33" spans="1:6" x14ac:dyDescent="0.2">
      <c r="A33" t="s">
        <v>41</v>
      </c>
      <c r="B33" t="s">
        <v>7</v>
      </c>
      <c r="C33">
        <v>2021</v>
      </c>
      <c r="D33">
        <v>4</v>
      </c>
      <c r="E33">
        <v>360.72</v>
      </c>
      <c r="F33">
        <v>4</v>
      </c>
    </row>
    <row r="34" spans="1:6" x14ac:dyDescent="0.2">
      <c r="A34" t="s">
        <v>42</v>
      </c>
      <c r="B34" t="s">
        <v>7</v>
      </c>
      <c r="C34">
        <v>2021</v>
      </c>
      <c r="D34">
        <v>3</v>
      </c>
      <c r="E34">
        <v>362.42</v>
      </c>
      <c r="F34">
        <v>8</v>
      </c>
    </row>
    <row r="35" spans="1:6" x14ac:dyDescent="0.2">
      <c r="A35" t="s">
        <v>43</v>
      </c>
      <c r="B35" t="s">
        <v>9</v>
      </c>
      <c r="C35">
        <v>2021</v>
      </c>
      <c r="D35">
        <v>2</v>
      </c>
      <c r="E35">
        <v>361.39</v>
      </c>
      <c r="F35">
        <v>9</v>
      </c>
    </row>
    <row r="36" spans="1:6" x14ac:dyDescent="0.2">
      <c r="A36" t="s">
        <v>44</v>
      </c>
      <c r="B36" t="s">
        <v>9</v>
      </c>
      <c r="C36">
        <v>2021</v>
      </c>
      <c r="D36">
        <v>3</v>
      </c>
      <c r="E36">
        <v>179.55</v>
      </c>
      <c r="F36">
        <v>10</v>
      </c>
    </row>
    <row r="37" spans="1:6" x14ac:dyDescent="0.2">
      <c r="A37" t="s">
        <v>45</v>
      </c>
      <c r="B37" t="s">
        <v>11</v>
      </c>
      <c r="C37">
        <v>2021</v>
      </c>
      <c r="D37">
        <v>3</v>
      </c>
      <c r="E37">
        <v>256.14999999999998</v>
      </c>
      <c r="F37">
        <v>8</v>
      </c>
    </row>
    <row r="38" spans="1:6" x14ac:dyDescent="0.2">
      <c r="A38" t="s">
        <v>46</v>
      </c>
      <c r="B38" t="s">
        <v>7</v>
      </c>
      <c r="C38">
        <v>2023</v>
      </c>
      <c r="D38">
        <v>5</v>
      </c>
      <c r="E38">
        <v>210.53</v>
      </c>
      <c r="F38">
        <v>13</v>
      </c>
    </row>
    <row r="39" spans="1:6" x14ac:dyDescent="0.2">
      <c r="A39" t="s">
        <v>47</v>
      </c>
      <c r="B39" t="s">
        <v>7</v>
      </c>
      <c r="C39">
        <v>2023</v>
      </c>
      <c r="D39">
        <v>4</v>
      </c>
      <c r="E39">
        <v>323.85000000000002</v>
      </c>
      <c r="F39">
        <v>6</v>
      </c>
    </row>
    <row r="40" spans="1:6" x14ac:dyDescent="0.2">
      <c r="A40" t="s">
        <v>48</v>
      </c>
      <c r="B40" t="s">
        <v>11</v>
      </c>
      <c r="C40">
        <v>2020</v>
      </c>
      <c r="D40">
        <v>5</v>
      </c>
      <c r="E40">
        <v>386.53</v>
      </c>
      <c r="F40">
        <v>15</v>
      </c>
    </row>
    <row r="41" spans="1:6" x14ac:dyDescent="0.2">
      <c r="A41" t="s">
        <v>49</v>
      </c>
      <c r="B41" t="s">
        <v>13</v>
      </c>
      <c r="C41">
        <v>2025</v>
      </c>
      <c r="D41">
        <v>4</v>
      </c>
      <c r="E41">
        <v>319.89</v>
      </c>
      <c r="F41">
        <v>8</v>
      </c>
    </row>
    <row r="42" spans="1:6" x14ac:dyDescent="0.2">
      <c r="A42" t="s">
        <v>50</v>
      </c>
      <c r="B42" t="s">
        <v>7</v>
      </c>
      <c r="C42">
        <v>2019</v>
      </c>
      <c r="D42">
        <v>2</v>
      </c>
      <c r="E42">
        <v>250.73</v>
      </c>
      <c r="F42">
        <v>10</v>
      </c>
    </row>
    <row r="43" spans="1:6" x14ac:dyDescent="0.2">
      <c r="A43" t="s">
        <v>51</v>
      </c>
      <c r="B43" t="s">
        <v>13</v>
      </c>
      <c r="C43">
        <v>2024</v>
      </c>
      <c r="D43">
        <v>5</v>
      </c>
      <c r="E43">
        <v>220.76</v>
      </c>
      <c r="F43">
        <v>5</v>
      </c>
    </row>
    <row r="44" spans="1:6" x14ac:dyDescent="0.2">
      <c r="A44" t="s">
        <v>52</v>
      </c>
      <c r="B44" t="s">
        <v>7</v>
      </c>
      <c r="C44">
        <v>2021</v>
      </c>
      <c r="D44">
        <v>5</v>
      </c>
      <c r="E44">
        <v>301.93</v>
      </c>
      <c r="F44">
        <v>12</v>
      </c>
    </row>
    <row r="45" spans="1:6" x14ac:dyDescent="0.2">
      <c r="A45" t="s">
        <v>53</v>
      </c>
      <c r="B45" t="s">
        <v>9</v>
      </c>
      <c r="C45">
        <v>2018</v>
      </c>
      <c r="D45">
        <v>4</v>
      </c>
      <c r="E45">
        <v>152.16999999999999</v>
      </c>
      <c r="F45">
        <v>9</v>
      </c>
    </row>
    <row r="46" spans="1:6" x14ac:dyDescent="0.2">
      <c r="A46" t="s">
        <v>54</v>
      </c>
      <c r="B46" t="s">
        <v>7</v>
      </c>
      <c r="C46">
        <v>2024</v>
      </c>
      <c r="D46">
        <v>5</v>
      </c>
      <c r="E46">
        <v>292.91000000000003</v>
      </c>
      <c r="F46">
        <v>4</v>
      </c>
    </row>
    <row r="47" spans="1:6" x14ac:dyDescent="0.2">
      <c r="A47" t="s">
        <v>55</v>
      </c>
      <c r="B47" t="s">
        <v>11</v>
      </c>
      <c r="C47">
        <v>2023</v>
      </c>
      <c r="D47">
        <v>4</v>
      </c>
      <c r="E47">
        <v>176.82</v>
      </c>
      <c r="F47">
        <v>7</v>
      </c>
    </row>
    <row r="48" spans="1:6" x14ac:dyDescent="0.2">
      <c r="A48" t="s">
        <v>56</v>
      </c>
      <c r="B48" t="s">
        <v>7</v>
      </c>
      <c r="C48">
        <v>2018</v>
      </c>
      <c r="D48">
        <v>4</v>
      </c>
      <c r="E48">
        <v>299.64</v>
      </c>
      <c r="F48">
        <v>4</v>
      </c>
    </row>
    <row r="49" spans="1:6" x14ac:dyDescent="0.2">
      <c r="A49" t="s">
        <v>57</v>
      </c>
      <c r="B49" t="s">
        <v>13</v>
      </c>
      <c r="C49">
        <v>2018</v>
      </c>
      <c r="D49">
        <v>4</v>
      </c>
      <c r="E49">
        <v>237.13</v>
      </c>
      <c r="F49">
        <v>7</v>
      </c>
    </row>
    <row r="50" spans="1:6" x14ac:dyDescent="0.2">
      <c r="A50" t="s">
        <v>58</v>
      </c>
      <c r="B50" t="s">
        <v>13</v>
      </c>
      <c r="C50">
        <v>2018</v>
      </c>
      <c r="D50">
        <v>1</v>
      </c>
      <c r="E50">
        <v>218.94</v>
      </c>
      <c r="F50">
        <v>7</v>
      </c>
    </row>
    <row r="51" spans="1:6" x14ac:dyDescent="0.2">
      <c r="A51" t="s">
        <v>59</v>
      </c>
      <c r="B51" t="s">
        <v>7</v>
      </c>
      <c r="C51">
        <v>2020</v>
      </c>
      <c r="D51">
        <v>2</v>
      </c>
      <c r="E51">
        <v>179.16</v>
      </c>
      <c r="F51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88311-E4FE-5349-8759-45768CD5121A}">
  <dimension ref="A1:H51"/>
  <sheetViews>
    <sheetView tabSelected="1" workbookViewId="0">
      <selection activeCell="H3" sqref="H3"/>
    </sheetView>
  </sheetViews>
  <sheetFormatPr baseColWidth="10" defaultRowHeight="16" x14ac:dyDescent="0.2"/>
  <cols>
    <col min="1" max="1" width="14" bestFit="1" customWidth="1"/>
    <col min="3" max="3" width="14" bestFit="1" customWidth="1"/>
    <col min="6" max="6" width="16.33203125" bestFit="1" customWidth="1"/>
  </cols>
  <sheetData>
    <row r="1" spans="1:8" x14ac:dyDescent="0.2">
      <c r="A1" t="s">
        <v>4</v>
      </c>
      <c r="C1" t="s">
        <v>60</v>
      </c>
      <c r="D1">
        <f>COUNT(A2:A51)</f>
        <v>50</v>
      </c>
      <c r="F1" t="s">
        <v>63</v>
      </c>
      <c r="G1" t="s">
        <v>64</v>
      </c>
      <c r="H1" t="s">
        <v>65</v>
      </c>
    </row>
    <row r="2" spans="1:8" x14ac:dyDescent="0.2">
      <c r="A2">
        <v>351.9</v>
      </c>
      <c r="C2" t="s">
        <v>61</v>
      </c>
      <c r="D2">
        <f>AVERAGE(A2:A51)</f>
        <v>241.71040000000005</v>
      </c>
      <c r="F2" cm="1">
        <f t="array" aca="1" ref="F2" ca="1">INDEX($A$2:$A$51, RANDBETWEEN(1, 50))</f>
        <v>152.16999999999999</v>
      </c>
      <c r="G2">
        <f ca="1">AVERAGE(F2:F51)</f>
        <v>245.51860000000005</v>
      </c>
      <c r="H2">
        <f ca="1">MEDIAN(F2:F51)</f>
        <v>237.13</v>
      </c>
    </row>
    <row r="3" spans="1:8" x14ac:dyDescent="0.2">
      <c r="A3">
        <v>226.64</v>
      </c>
      <c r="C3" t="s">
        <v>62</v>
      </c>
      <c r="D3">
        <f>MEDIAN(A2:A51)</f>
        <v>236.92500000000001</v>
      </c>
      <c r="F3" cm="1">
        <f t="array" aca="1" ref="F3" ca="1">INDEX($A$2:$A$51, RANDBETWEEN(1, 50))</f>
        <v>267.2</v>
      </c>
    </row>
    <row r="4" spans="1:8" x14ac:dyDescent="0.2">
      <c r="A4">
        <v>37.590000000000003</v>
      </c>
      <c r="F4" cm="1">
        <f t="array" aca="1" ref="F4" ca="1">INDEX($A$2:$A$51, RANDBETWEEN(1, 50))</f>
        <v>360.72</v>
      </c>
    </row>
    <row r="5" spans="1:8" x14ac:dyDescent="0.2">
      <c r="A5">
        <v>277.64</v>
      </c>
      <c r="F5" cm="1">
        <f t="array" aca="1" ref="F5" ca="1">INDEX($A$2:$A$51, RANDBETWEEN(1, 50))</f>
        <v>277.19</v>
      </c>
    </row>
    <row r="6" spans="1:8" x14ac:dyDescent="0.2">
      <c r="A6">
        <v>218.36</v>
      </c>
      <c r="F6" cm="1">
        <f t="array" aca="1" ref="F6" ca="1">INDEX($A$2:$A$51, RANDBETWEEN(1, 50))</f>
        <v>237.13</v>
      </c>
    </row>
    <row r="7" spans="1:8" x14ac:dyDescent="0.2">
      <c r="A7">
        <v>226.87</v>
      </c>
      <c r="F7" cm="1">
        <f t="array" aca="1" ref="F7" ca="1">INDEX($A$2:$A$51, RANDBETWEEN(1, 50))</f>
        <v>179.55</v>
      </c>
    </row>
    <row r="8" spans="1:8" x14ac:dyDescent="0.2">
      <c r="A8">
        <v>286.23</v>
      </c>
      <c r="F8" cm="1">
        <f t="array" aca="1" ref="F8" ca="1">INDEX($A$2:$A$51, RANDBETWEEN(1, 50))</f>
        <v>226.64</v>
      </c>
    </row>
    <row r="9" spans="1:8" x14ac:dyDescent="0.2">
      <c r="A9">
        <v>236.72</v>
      </c>
      <c r="F9" cm="1">
        <f t="array" aca="1" ref="F9" ca="1">INDEX($A$2:$A$51, RANDBETWEEN(1, 50))</f>
        <v>216.28</v>
      </c>
    </row>
    <row r="10" spans="1:8" x14ac:dyDescent="0.2">
      <c r="A10">
        <v>267.2</v>
      </c>
      <c r="F10" cm="1">
        <f t="array" aca="1" ref="F10" ca="1">INDEX($A$2:$A$51, RANDBETWEEN(1, 50))</f>
        <v>256.14999999999998</v>
      </c>
    </row>
    <row r="11" spans="1:8" x14ac:dyDescent="0.2">
      <c r="A11">
        <v>88.21</v>
      </c>
      <c r="F11" cm="1">
        <f t="array" aca="1" ref="F11" ca="1">INDEX($A$2:$A$51, RANDBETWEEN(1, 50))</f>
        <v>256.14999999999998</v>
      </c>
    </row>
    <row r="12" spans="1:8" x14ac:dyDescent="0.2">
      <c r="A12">
        <v>174.56</v>
      </c>
      <c r="F12" cm="1">
        <f t="array" aca="1" ref="F12" ca="1">INDEX($A$2:$A$51, RANDBETWEEN(1, 50))</f>
        <v>176.82</v>
      </c>
    </row>
    <row r="13" spans="1:8" x14ac:dyDescent="0.2">
      <c r="A13">
        <v>362.32</v>
      </c>
      <c r="F13" cm="1">
        <f t="array" aca="1" ref="F13" ca="1">INDEX($A$2:$A$51, RANDBETWEEN(1, 50))</f>
        <v>204.02</v>
      </c>
    </row>
    <row r="14" spans="1:8" x14ac:dyDescent="0.2">
      <c r="A14">
        <v>248.52</v>
      </c>
      <c r="F14" cm="1">
        <f t="array" aca="1" ref="F14" ca="1">INDEX($A$2:$A$51, RANDBETWEEN(1, 50))</f>
        <v>311.38</v>
      </c>
    </row>
    <row r="15" spans="1:8" x14ac:dyDescent="0.2">
      <c r="A15">
        <v>116.12</v>
      </c>
      <c r="F15" cm="1">
        <f t="array" aca="1" ref="F15" ca="1">INDEX($A$2:$A$51, RANDBETWEEN(1, 50))</f>
        <v>210.53</v>
      </c>
    </row>
    <row r="16" spans="1:8" x14ac:dyDescent="0.2">
      <c r="A16">
        <v>164.2</v>
      </c>
      <c r="F16" cm="1">
        <f t="array" aca="1" ref="F16" ca="1">INDEX($A$2:$A$51, RANDBETWEEN(1, 50))</f>
        <v>311.38</v>
      </c>
    </row>
    <row r="17" spans="1:6" x14ac:dyDescent="0.2">
      <c r="A17">
        <v>170.59</v>
      </c>
      <c r="F17" cm="1">
        <f t="array" aca="1" ref="F17" ca="1">INDEX($A$2:$A$51, RANDBETWEEN(1, 50))</f>
        <v>286.23</v>
      </c>
    </row>
    <row r="18" spans="1:6" x14ac:dyDescent="0.2">
      <c r="A18">
        <v>258.19</v>
      </c>
      <c r="F18" cm="1">
        <f t="array" aca="1" ref="F18" ca="1">INDEX($A$2:$A$51, RANDBETWEEN(1, 50))</f>
        <v>197.27</v>
      </c>
    </row>
    <row r="19" spans="1:6" x14ac:dyDescent="0.2">
      <c r="A19">
        <v>215.39</v>
      </c>
      <c r="F19" cm="1">
        <f t="array" aca="1" ref="F19" ca="1">INDEX($A$2:$A$51, RANDBETWEEN(1, 50))</f>
        <v>187.97</v>
      </c>
    </row>
    <row r="20" spans="1:6" x14ac:dyDescent="0.2">
      <c r="A20">
        <v>197.27</v>
      </c>
      <c r="F20" cm="1">
        <f t="array" aca="1" ref="F20" ca="1">INDEX($A$2:$A$51, RANDBETWEEN(1, 50))</f>
        <v>361.39</v>
      </c>
    </row>
    <row r="21" spans="1:6" x14ac:dyDescent="0.2">
      <c r="A21">
        <v>250.31</v>
      </c>
      <c r="F21" cm="1">
        <f t="array" aca="1" ref="F21" ca="1">INDEX($A$2:$A$51, RANDBETWEEN(1, 50))</f>
        <v>204.02</v>
      </c>
    </row>
    <row r="22" spans="1:6" x14ac:dyDescent="0.2">
      <c r="A22">
        <v>288.22000000000003</v>
      </c>
      <c r="F22" cm="1">
        <f t="array" aca="1" ref="F22" ca="1">INDEX($A$2:$A$51, RANDBETWEEN(1, 50))</f>
        <v>216.28</v>
      </c>
    </row>
    <row r="23" spans="1:6" x14ac:dyDescent="0.2">
      <c r="A23">
        <v>229.28</v>
      </c>
      <c r="F23" cm="1">
        <f t="array" aca="1" ref="F23" ca="1">INDEX($A$2:$A$51, RANDBETWEEN(1, 50))</f>
        <v>37.590000000000003</v>
      </c>
    </row>
    <row r="24" spans="1:6" x14ac:dyDescent="0.2">
      <c r="A24">
        <v>204.02</v>
      </c>
      <c r="F24" cm="1">
        <f t="array" aca="1" ref="F24" ca="1">INDEX($A$2:$A$51, RANDBETWEEN(1, 50))</f>
        <v>386.53</v>
      </c>
    </row>
    <row r="25" spans="1:6" x14ac:dyDescent="0.2">
      <c r="A25">
        <v>216.28</v>
      </c>
      <c r="F25" cm="1">
        <f t="array" aca="1" ref="F25" ca="1">INDEX($A$2:$A$51, RANDBETWEEN(1, 50))</f>
        <v>311.38</v>
      </c>
    </row>
    <row r="26" spans="1:6" x14ac:dyDescent="0.2">
      <c r="A26">
        <v>277.19</v>
      </c>
      <c r="F26" cm="1">
        <f t="array" aca="1" ref="F26" ca="1">INDEX($A$2:$A$51, RANDBETWEEN(1, 50))</f>
        <v>351.9</v>
      </c>
    </row>
    <row r="27" spans="1:6" x14ac:dyDescent="0.2">
      <c r="A27">
        <v>249.41</v>
      </c>
      <c r="F27" cm="1">
        <f t="array" aca="1" ref="F27" ca="1">INDEX($A$2:$A$51, RANDBETWEEN(1, 50))</f>
        <v>351.9</v>
      </c>
    </row>
    <row r="28" spans="1:6" x14ac:dyDescent="0.2">
      <c r="A28">
        <v>311.38</v>
      </c>
      <c r="F28" cm="1">
        <f t="array" aca="1" ref="F28" ca="1">INDEX($A$2:$A$51, RANDBETWEEN(1, 50))</f>
        <v>237.13</v>
      </c>
    </row>
    <row r="29" spans="1:6" x14ac:dyDescent="0.2">
      <c r="A29">
        <v>158.02000000000001</v>
      </c>
      <c r="F29" cm="1">
        <f t="array" aca="1" ref="F29" ca="1">INDEX($A$2:$A$51, RANDBETWEEN(1, 50))</f>
        <v>256.14999999999998</v>
      </c>
    </row>
    <row r="30" spans="1:6" x14ac:dyDescent="0.2">
      <c r="A30">
        <v>187.97</v>
      </c>
      <c r="F30" cm="1">
        <f t="array" aca="1" ref="F30" ca="1">INDEX($A$2:$A$51, RANDBETWEEN(1, 50))</f>
        <v>158.02000000000001</v>
      </c>
    </row>
    <row r="31" spans="1:6" x14ac:dyDescent="0.2">
      <c r="A31">
        <v>311.85000000000002</v>
      </c>
      <c r="F31" cm="1">
        <f t="array" aca="1" ref="F31" ca="1">INDEX($A$2:$A$51, RANDBETWEEN(1, 50))</f>
        <v>226.87</v>
      </c>
    </row>
    <row r="32" spans="1:6" x14ac:dyDescent="0.2">
      <c r="A32">
        <v>185.85</v>
      </c>
      <c r="F32" cm="1">
        <f t="array" aca="1" ref="F32" ca="1">INDEX($A$2:$A$51, RANDBETWEEN(1, 50))</f>
        <v>267.2</v>
      </c>
    </row>
    <row r="33" spans="1:6" x14ac:dyDescent="0.2">
      <c r="A33">
        <v>360.72</v>
      </c>
      <c r="F33" cm="1">
        <f t="array" aca="1" ref="F33" ca="1">INDEX($A$2:$A$51, RANDBETWEEN(1, 50))</f>
        <v>237.13</v>
      </c>
    </row>
    <row r="34" spans="1:6" x14ac:dyDescent="0.2">
      <c r="A34">
        <v>362.42</v>
      </c>
      <c r="F34" cm="1">
        <f t="array" aca="1" ref="F34" ca="1">INDEX($A$2:$A$51, RANDBETWEEN(1, 50))</f>
        <v>236.72</v>
      </c>
    </row>
    <row r="35" spans="1:6" x14ac:dyDescent="0.2">
      <c r="A35">
        <v>361.39</v>
      </c>
      <c r="F35" cm="1">
        <f t="array" aca="1" ref="F35" ca="1">INDEX($A$2:$A$51, RANDBETWEEN(1, 50))</f>
        <v>361.39</v>
      </c>
    </row>
    <row r="36" spans="1:6" x14ac:dyDescent="0.2">
      <c r="A36">
        <v>179.55</v>
      </c>
      <c r="F36" cm="1">
        <f t="array" aca="1" ref="F36" ca="1">INDEX($A$2:$A$51, RANDBETWEEN(1, 50))</f>
        <v>250.31</v>
      </c>
    </row>
    <row r="37" spans="1:6" x14ac:dyDescent="0.2">
      <c r="A37">
        <v>256.14999999999998</v>
      </c>
      <c r="F37" cm="1">
        <f t="array" aca="1" ref="F37" ca="1">INDEX($A$2:$A$51, RANDBETWEEN(1, 50))</f>
        <v>237.13</v>
      </c>
    </row>
    <row r="38" spans="1:6" x14ac:dyDescent="0.2">
      <c r="A38">
        <v>210.53</v>
      </c>
      <c r="F38" cm="1">
        <f t="array" aca="1" ref="F38" ca="1">INDEX($A$2:$A$51, RANDBETWEEN(1, 50))</f>
        <v>236.72</v>
      </c>
    </row>
    <row r="39" spans="1:6" x14ac:dyDescent="0.2">
      <c r="A39">
        <v>323.85000000000002</v>
      </c>
      <c r="F39" cm="1">
        <f t="array" aca="1" ref="F39" ca="1">INDEX($A$2:$A$51, RANDBETWEEN(1, 50))</f>
        <v>229.28</v>
      </c>
    </row>
    <row r="40" spans="1:6" x14ac:dyDescent="0.2">
      <c r="A40">
        <v>386.53</v>
      </c>
      <c r="F40" cm="1">
        <f t="array" aca="1" ref="F40" ca="1">INDEX($A$2:$A$51, RANDBETWEEN(1, 50))</f>
        <v>37.590000000000003</v>
      </c>
    </row>
    <row r="41" spans="1:6" x14ac:dyDescent="0.2">
      <c r="A41">
        <v>319.89</v>
      </c>
      <c r="F41" cm="1">
        <f t="array" aca="1" ref="F41" ca="1">INDEX($A$2:$A$51, RANDBETWEEN(1, 50))</f>
        <v>204.02</v>
      </c>
    </row>
    <row r="42" spans="1:6" x14ac:dyDescent="0.2">
      <c r="A42">
        <v>250.73</v>
      </c>
      <c r="F42" cm="1">
        <f t="array" aca="1" ref="F42" ca="1">INDEX($A$2:$A$51, RANDBETWEEN(1, 50))</f>
        <v>267.2</v>
      </c>
    </row>
    <row r="43" spans="1:6" x14ac:dyDescent="0.2">
      <c r="A43">
        <v>220.76</v>
      </c>
      <c r="F43" cm="1">
        <f t="array" aca="1" ref="F43" ca="1">INDEX($A$2:$A$51, RANDBETWEEN(1, 50))</f>
        <v>216.28</v>
      </c>
    </row>
    <row r="44" spans="1:6" x14ac:dyDescent="0.2">
      <c r="A44">
        <v>301.93</v>
      </c>
      <c r="F44" cm="1">
        <f t="array" aca="1" ref="F44" ca="1">INDEX($A$2:$A$51, RANDBETWEEN(1, 50))</f>
        <v>301.93</v>
      </c>
    </row>
    <row r="45" spans="1:6" x14ac:dyDescent="0.2">
      <c r="A45">
        <v>152.16999999999999</v>
      </c>
      <c r="F45" cm="1">
        <f t="array" aca="1" ref="F45" ca="1">INDEX($A$2:$A$51, RANDBETWEEN(1, 50))</f>
        <v>323.85000000000002</v>
      </c>
    </row>
    <row r="46" spans="1:6" x14ac:dyDescent="0.2">
      <c r="A46">
        <v>292.91000000000003</v>
      </c>
      <c r="F46" cm="1">
        <f t="array" aca="1" ref="F46" ca="1">INDEX($A$2:$A$51, RANDBETWEEN(1, 50))</f>
        <v>226.87</v>
      </c>
    </row>
    <row r="47" spans="1:6" x14ac:dyDescent="0.2">
      <c r="A47">
        <v>176.82</v>
      </c>
      <c r="F47" cm="1">
        <f t="array" aca="1" ref="F47" ca="1">INDEX($A$2:$A$51, RANDBETWEEN(1, 50))</f>
        <v>361.39</v>
      </c>
    </row>
    <row r="48" spans="1:6" x14ac:dyDescent="0.2">
      <c r="A48">
        <v>299.64</v>
      </c>
      <c r="F48" cm="1">
        <f t="array" aca="1" ref="F48" ca="1">INDEX($A$2:$A$51, RANDBETWEEN(1, 50))</f>
        <v>158.02000000000001</v>
      </c>
    </row>
    <row r="49" spans="1:6" x14ac:dyDescent="0.2">
      <c r="A49">
        <v>237.13</v>
      </c>
      <c r="F49" cm="1">
        <f t="array" aca="1" ref="F49" ca="1">INDEX($A$2:$A$51, RANDBETWEEN(1, 50))</f>
        <v>176.82</v>
      </c>
    </row>
    <row r="50" spans="1:6" x14ac:dyDescent="0.2">
      <c r="A50">
        <v>218.94</v>
      </c>
      <c r="F50" cm="1">
        <f t="array" aca="1" ref="F50" ca="1">INDEX($A$2:$A$51, RANDBETWEEN(1, 50))</f>
        <v>311.38</v>
      </c>
    </row>
    <row r="51" spans="1:6" x14ac:dyDescent="0.2">
      <c r="A51">
        <v>179.16</v>
      </c>
      <c r="F51" cm="1">
        <f t="array" aca="1" ref="F51" ca="1">INDEX($A$2:$A$51, RANDBETWEEN(1, 50))</f>
        <v>220.76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bakery_customers</vt:lpstr>
      <vt:lpstr>bootstrap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Ko</dc:creator>
  <cp:lastModifiedBy>John Ko</cp:lastModifiedBy>
  <dcterms:created xsi:type="dcterms:W3CDTF">2026-10-08T23:30:40Z</dcterms:created>
  <dcterms:modified xsi:type="dcterms:W3CDTF">2026-10-08T23:36:47Z</dcterms:modified>
</cp:coreProperties>
</file>